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IO\Excel\"/>
    </mc:Choice>
  </mc:AlternateContent>
  <xr:revisionPtr revIDLastSave="0" documentId="13_ncr:1_{482257BA-019F-4810-8890-881814110CF1}" xr6:coauthVersionLast="47" xr6:coauthVersionMax="47" xr10:uidLastSave="{00000000-0000-0000-0000-000000000000}"/>
  <bookViews>
    <workbookView xWindow="-110" yWindow="-110" windowWidth="27370" windowHeight="14770" tabRatio="0" xr2:uid="{1C3ECBFA-9EDE-476C-8265-0451997193B7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_ANOS">Planilha1!$D$17</definedName>
    <definedName name="RENDIMENTO_CARTEIRA">Planilha1!$D$12</definedName>
    <definedName name="SALARIO">Planilha1!$D$11</definedName>
    <definedName name="SUGESTAO_INVESTIMENTO">Planilha1!$D$13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10" i="2"/>
  <c r="A11" i="2"/>
  <c r="A12" i="2"/>
  <c r="A13" i="2"/>
  <c r="A14" i="2"/>
  <c r="A15" i="2"/>
  <c r="A16" i="2"/>
  <c r="A17" i="2"/>
  <c r="A18" i="2"/>
  <c r="A19" i="2"/>
  <c r="A20" i="2"/>
  <c r="A9" i="2"/>
  <c r="A4" i="2"/>
  <c r="A5" i="2"/>
  <c r="A6" i="2"/>
  <c r="A7" i="2"/>
  <c r="A8" i="2"/>
  <c r="A3" i="2"/>
  <c r="D31" i="1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35" i="1" l="1"/>
  <c r="D36" i="1"/>
  <c r="D37" i="1"/>
  <c r="D38" i="1"/>
  <c r="D39" i="1"/>
  <c r="D34" i="1"/>
  <c r="D40" i="1" l="1"/>
</calcChain>
</file>

<file path=xl/sharedStrings.xml><?xml version="1.0" encoding="utf-8"?>
<sst xmlns="http://schemas.openxmlformats.org/spreadsheetml/2006/main" count="69" uniqueCount="33">
  <si>
    <t>POR QUANTO ANOS?</t>
  </si>
  <si>
    <t>TAXA  DE REDIMENTO MENSAL?</t>
  </si>
  <si>
    <t>PATRIMONIO ACUMULADO?</t>
  </si>
  <si>
    <t>DIVIDENDO MENSAIS?</t>
  </si>
  <si>
    <t>INVESTIMENTO MENSAL</t>
  </si>
  <si>
    <t>QUANTO INVESTIR POR MÊS?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</si>
  <si>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</si>
  <si>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</si>
  <si>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</si>
  <si>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</si>
  <si>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</si>
  <si>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</si>
  <si>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DIVIDENDOS</t>
  </si>
  <si>
    <t>CONFIGURAÇÕES</t>
  </si>
  <si>
    <t>SALÁRIO</t>
  </si>
  <si>
    <t>RENDIMENTO CARTEIRA</t>
  </si>
  <si>
    <t>PERFIL</t>
  </si>
  <si>
    <t>AGRESSIVO</t>
  </si>
  <si>
    <t>CONSERVADOR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</si>
  <si>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</si>
  <si>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</si>
  <si>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</si>
  <si>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</si>
  <si>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</si>
  <si>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</si>
  <si>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</si>
  <si>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</si>
  <si>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</si>
  <si>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</si>
  <si>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</si>
  <si>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%</t>
  </si>
  <si>
    <t>CHAVE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</si>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</sst>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74"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7" fillId="5" borderId="4" xfId="0" applyFont="1" applyFill="1" applyBorder="1"/>
    <xf numFmtId="8" fontId="7" fillId="5" borderId="5" xfId="0" applyNumberFormat="1" applyFont="1" applyFill="1" applyBorder="1" applyAlignment="1">
      <alignment horizontal="center"/>
    </xf>
    <xf numFmtId="8" fontId="7" fillId="5" borderId="6" xfId="0" applyNumberFormat="1" applyFont="1" applyFill="1" applyBorder="1" applyAlignment="1">
      <alignment horizontal="center"/>
    </xf>
    <xf numFmtId="0" fontId="7" fillId="5" borderId="7" xfId="0" applyFont="1" applyFill="1" applyBorder="1"/>
    <xf numFmtId="8" fontId="7" fillId="5" borderId="8" xfId="0" applyNumberFormat="1" applyFont="1" applyFill="1" applyBorder="1" applyAlignment="1">
      <alignment horizontal="center"/>
    </xf>
    <xf numFmtId="8" fontId="7" fillId="5" borderId="9" xfId="0" applyNumberFormat="1" applyFont="1" applyFill="1" applyBorder="1" applyAlignment="1">
      <alignment horizontal="center"/>
    </xf>
    <xf numFmtId="0" fontId="7" fillId="5" borderId="10" xfId="0" applyFont="1" applyFill="1" applyBorder="1"/>
    <xf numFmtId="8" fontId="7" fillId="5" borderId="11" xfId="0" applyNumberFormat="1" applyFont="1" applyFill="1" applyBorder="1" applyAlignment="1">
      <alignment horizontal="center"/>
    </xf>
    <xf numFmtId="8" fontId="7" fillId="5" borderId="12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vertical="center"/>
    </xf>
    <xf numFmtId="164" fontId="6" fillId="4" borderId="6" xfId="1" applyNumberFormat="1" applyFont="1" applyFill="1" applyBorder="1" applyAlignment="1">
      <alignment horizontal="center"/>
    </xf>
    <xf numFmtId="1" fontId="6" fillId="4" borderId="9" xfId="1" applyNumberFormat="1" applyFont="1" applyFill="1" applyBorder="1" applyAlignment="1">
      <alignment horizontal="center"/>
    </xf>
    <xf numFmtId="10" fontId="6" fillId="4" borderId="9" xfId="1" applyNumberFormat="1" applyFont="1" applyFill="1" applyBorder="1" applyAlignment="1">
      <alignment horizontal="center"/>
    </xf>
    <xf numFmtId="8" fontId="6" fillId="5" borderId="9" xfId="0" applyNumberFormat="1" applyFont="1" applyFill="1" applyBorder="1" applyAlignment="1">
      <alignment horizontal="center"/>
    </xf>
    <xf numFmtId="8" fontId="6" fillId="5" borderId="12" xfId="0" applyNumberFormat="1" applyFont="1" applyFill="1" applyBorder="1" applyAlignment="1">
      <alignment horizontal="center"/>
    </xf>
    <xf numFmtId="164" fontId="7" fillId="0" borderId="6" xfId="0" applyNumberFormat="1" applyFont="1" applyBorder="1" applyAlignment="1">
      <alignment horizontal="center"/>
    </xf>
    <xf numFmtId="9" fontId="7" fillId="0" borderId="9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0" fontId="3" fillId="5" borderId="0" xfId="0" applyFont="1" applyFill="1" applyAlignment="1">
      <alignment horizontal="center"/>
    </xf>
    <xf numFmtId="164" fontId="3" fillId="5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right"/>
    </xf>
    <xf numFmtId="0" fontId="2" fillId="2" borderId="0" xfId="2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0" fillId="0" borderId="0" xfId="1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7" borderId="0" xfId="0" applyFont="1" applyFill="1" applyAlignment="1">
      <alignment horizontal="left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0" fontId="7" fillId="4" borderId="7" xfId="0" applyFont="1" applyFill="1" applyBorder="1" applyAlignment="1">
      <alignment horizontal="left"/>
    </xf>
    <xf numFmtId="0" fontId="7" fillId="4" borderId="8" xfId="0" applyFont="1" applyFill="1" applyBorder="1" applyAlignment="1">
      <alignment horizontal="left"/>
    </xf>
    <xf numFmtId="0" fontId="6" fillId="5" borderId="7" xfId="0" applyFont="1" applyFill="1" applyBorder="1" applyAlignment="1">
      <alignment horizontal="left"/>
    </xf>
    <xf numFmtId="0" fontId="6" fillId="5" borderId="8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0" fontId="6" fillId="5" borderId="1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2" fillId="2" borderId="0" xfId="2" applyBorder="1" applyAlignment="1">
      <alignment horizontal="left"/>
    </xf>
    <xf numFmtId="0" fontId="5" fillId="6" borderId="0" xfId="0" applyFont="1" applyFill="1" applyBorder="1" applyAlignment="1">
      <alignment vertical="center"/>
    </xf>
    <xf numFmtId="164" fontId="7" fillId="0" borderId="0" xfId="0" applyNumberFormat="1" applyFont="1" applyBorder="1" applyAlignment="1">
      <alignment horizontal="center"/>
    </xf>
    <xf numFmtId="9" fontId="7" fillId="0" borderId="0" xfId="0" applyNumberFormat="1" applyFont="1" applyBorder="1" applyAlignment="1">
      <alignment horizontal="center"/>
    </xf>
    <xf numFmtId="0" fontId="5" fillId="3" borderId="0" xfId="0" applyFont="1" applyFill="1" applyBorder="1" applyAlignment="1">
      <alignment vertical="center"/>
    </xf>
    <xf numFmtId="164" fontId="6" fillId="4" borderId="0" xfId="1" applyNumberFormat="1" applyFont="1" applyFill="1" applyBorder="1" applyAlignment="1">
      <alignment horizontal="center"/>
    </xf>
    <xf numFmtId="1" fontId="6" fillId="4" borderId="0" xfId="1" applyNumberFormat="1" applyFont="1" applyFill="1" applyBorder="1" applyAlignment="1">
      <alignment horizontal="center"/>
    </xf>
    <xf numFmtId="10" fontId="6" fillId="4" borderId="0" xfId="1" applyNumberFormat="1" applyFont="1" applyFill="1" applyBorder="1" applyAlignment="1">
      <alignment horizontal="center"/>
    </xf>
    <xf numFmtId="8" fontId="6" fillId="5" borderId="0" xfId="0" applyNumberFormat="1" applyFont="1" applyFill="1" applyBorder="1" applyAlignment="1">
      <alignment horizontal="center"/>
    </xf>
    <xf numFmtId="8" fontId="7" fillId="5" borderId="0" xfId="0" applyNumberFormat="1" applyFont="1" applyFill="1" applyBorder="1" applyAlignment="1">
      <alignment horizontal="center"/>
    </xf>
    <xf numFmtId="0" fontId="5" fillId="0" borderId="0" xfId="0" applyFont="1" applyFill="1" applyBorder="1" applyAlignment="1">
      <alignment vertical="center"/>
    </xf>
    <xf numFmtId="8" fontId="6" fillId="0" borderId="0" xfId="0" applyNumberFormat="1" applyFont="1" applyFill="1" applyBorder="1" applyAlignment="1">
      <alignment horizontal="center"/>
    </xf>
    <xf numFmtId="0" fontId="0" fillId="0" borderId="0" xfId="0" applyFill="1"/>
    <xf numFmtId="8" fontId="7" fillId="0" borderId="0" xfId="0" applyNumberFormat="1" applyFont="1" applyFill="1" applyBorder="1" applyAlignment="1">
      <alignment horizontal="center"/>
    </xf>
    <xf numFmtId="0" fontId="2" fillId="0" borderId="0" xfId="2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64" fontId="3" fillId="0" borderId="0" xfId="0" applyNumberFormat="1" applyFont="1" applyFill="1" applyAlignment="1">
      <alignment horizontal="center"/>
    </xf>
  </cellXfs>
  <cellStyles count="3">
    <cellStyle name="Neutro" xfId="2" builtinId="2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DD-479D-A9D5-128440E431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DD-479D-A9D5-128440E431A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DD-479D-A9D5-128440E431A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DD-479D-A9D5-128440E431A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0DD-479D-A9D5-128440E431A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0DD-479D-A9D5-128440E431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4-42AA-A85A-5A48024C8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200271</xdr:colOff>
      <xdr:row>40</xdr:row>
      <xdr:rowOff>117231</xdr:rowOff>
    </xdr:from>
    <xdr:to>
      <xdr:col>3</xdr:col>
      <xdr:colOff>1099039</xdr:colOff>
      <xdr:row>50</xdr:row>
      <xdr:rowOff>92808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92653A-8E7A-1E43-E923-5656E73F0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1</xdr:row>
      <xdr:rowOff>14655</xdr:rowOff>
    </xdr:from>
    <xdr:to>
      <xdr:col>4</xdr:col>
      <xdr:colOff>278422</xdr:colOff>
      <xdr:row>5</xdr:row>
      <xdr:rowOff>73270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913817-A54B-AA44-4089-7DA49ED62B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116" r="-287" b="64270"/>
        <a:stretch>
          <a:fillRect/>
        </a:stretch>
      </xdr:blipFill>
      <xdr:spPr>
        <a:xfrm>
          <a:off x="288192" y="200270"/>
          <a:ext cx="5656384" cy="801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2EC9F-B8D2-45CD-907B-CB1E841A934C}">
  <dimension ref="A1:V51"/>
  <sheetViews>
    <sheetView showGridLines="0" showRowColHeaders="0" tabSelected="1" topLeftCell="A26" zoomScale="130" zoomScaleNormal="130" workbookViewId="0">
      <selection activeCell="E17" sqref="E17"/>
    </sheetView>
  </sheetViews>
  <sheetFormatPr defaultColWidth="0" defaultRowHeight="14.5" zeroHeight="1" x14ac:dyDescent="0.35"/>
  <cols>
    <col min="1" max="1" width="4.08984375" customWidth="1"/>
    <col min="2" max="2" width="28.54296875" bestFit="1" customWidth="1"/>
    <col min="3" max="3" width="31.54296875" customWidth="1"/>
    <col min="4" max="4" width="16.90625" bestFit="1" customWidth="1"/>
    <col min="5" max="5" width="5.453125" customWidth="1"/>
    <col min="6" max="19" width="16.90625" hidden="1" customWidth="1"/>
    <col min="20" max="20" width="2.54296875" hidden="1" customWidth="1"/>
    <col min="21" max="21" width="10.7265625" hidden="1" customWidth="1"/>
    <col min="22" max="22" width="8.7265625" hidden="1" customWidth="1"/>
    <col min="23" max="16384" width="8.7265625" hidden="1"/>
  </cols>
  <sheetData>
    <row r="1" spans="2:19" x14ac:dyDescent="0.35"/>
    <row r="2" spans="2:19" x14ac:dyDescent="0.35"/>
    <row r="3" spans="2:19" x14ac:dyDescent="0.35"/>
    <row r="4" spans="2:19" x14ac:dyDescent="0.35"/>
    <row r="5" spans="2:19" x14ac:dyDescent="0.35"/>
    <row r="6" spans="2:19" x14ac:dyDescent="0.35"/>
    <row r="9" spans="2:19" ht="15" thickBot="1" x14ac:dyDescent="0.4"/>
    <row r="10" spans="2:19" ht="21" x14ac:dyDescent="0.35">
      <c r="B10" s="47" t="s">
        <v>13</v>
      </c>
      <c r="C10" s="48"/>
      <c r="D10" s="16"/>
      <c r="E10" s="65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</row>
    <row r="11" spans="2:19" ht="16" x14ac:dyDescent="0.4">
      <c r="B11" s="49" t="s">
        <v>14</v>
      </c>
      <c r="C11" s="50"/>
      <c r="D11" s="22">
        <v>6200</v>
      </c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</row>
    <row r="12" spans="2:19" ht="16" x14ac:dyDescent="0.4">
      <c r="B12" s="51" t="s">
        <v>15</v>
      </c>
      <c r="C12" s="52"/>
      <c r="D12" s="23">
        <v>8.8999999999999999E-3</v>
      </c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</row>
    <row r="13" spans="2:19" ht="16.5" thickBot="1" x14ac:dyDescent="0.45">
      <c r="B13" s="53" t="s">
        <v>32</v>
      </c>
      <c r="C13" s="54"/>
      <c r="D13" s="24">
        <f>D11*30%</f>
        <v>1860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</row>
    <row r="14" spans="2:19" ht="15" thickBot="1" x14ac:dyDescent="0.4"/>
    <row r="15" spans="2:19" ht="33.5" customHeight="1" x14ac:dyDescent="0.35">
      <c r="B15" s="35" t="s">
        <v>4</v>
      </c>
      <c r="C15" s="36"/>
      <c r="D15" s="2"/>
      <c r="E15" s="65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</row>
    <row r="16" spans="2:19" ht="16" x14ac:dyDescent="0.4">
      <c r="B16" s="39" t="s">
        <v>5</v>
      </c>
      <c r="C16" s="40"/>
      <c r="D16" s="17">
        <v>1860</v>
      </c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</row>
    <row r="17" spans="1:22" ht="16" x14ac:dyDescent="0.4">
      <c r="B17" s="41" t="s">
        <v>0</v>
      </c>
      <c r="C17" s="42"/>
      <c r="D17" s="18">
        <v>10</v>
      </c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</row>
    <row r="18" spans="1:22" ht="16" x14ac:dyDescent="0.4">
      <c r="B18" s="41" t="s">
        <v>1</v>
      </c>
      <c r="C18" s="42"/>
      <c r="D18" s="19">
        <v>1.0789999999999999E-2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</row>
    <row r="19" spans="1:22" ht="16" x14ac:dyDescent="0.4">
      <c r="B19" s="43" t="s">
        <v>2</v>
      </c>
      <c r="C19" s="44"/>
      <c r="D19" s="20">
        <f>FV(TAXA_MENSAL,QTD_ANOS*12,APORTE*-1)</f>
        <v>452508.63530612027</v>
      </c>
      <c r="E19" s="66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</row>
    <row r="20" spans="1:22" ht="16.5" thickBot="1" x14ac:dyDescent="0.45">
      <c r="B20" s="45" t="s">
        <v>3</v>
      </c>
      <c r="C20" s="46"/>
      <c r="D20" s="21">
        <f>D19*RENDIMENTO_CARTEIRA</f>
        <v>4027.3268542244705</v>
      </c>
      <c r="E20" s="66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</row>
    <row r="21" spans="1:22" ht="15" thickBot="1" x14ac:dyDescent="0.4">
      <c r="E21" s="67"/>
    </row>
    <row r="22" spans="1:22" ht="21" x14ac:dyDescent="0.35">
      <c r="B22" s="37" t="s">
        <v>11</v>
      </c>
      <c r="C22" s="38"/>
      <c r="D22" s="2" t="s">
        <v>12</v>
      </c>
      <c r="E22" s="65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</row>
    <row r="23" spans="1:22" ht="16" x14ac:dyDescent="0.4">
      <c r="A23" s="1">
        <v>2</v>
      </c>
      <c r="B23" s="7" t="s">
        <v>6</v>
      </c>
      <c r="C23" s="8">
        <f>FV($D$18,$A23*12,$D$16*-1)</f>
        <v>50643.386773620106</v>
      </c>
      <c r="D23" s="9">
        <f>C23*RENDIMENTO_CARTEIRA</f>
        <v>450.72614228521894</v>
      </c>
      <c r="E23" s="68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</row>
    <row r="24" spans="1:22" ht="16" x14ac:dyDescent="0.4">
      <c r="A24" s="1">
        <v>5</v>
      </c>
      <c r="B24" s="10" t="s">
        <v>7</v>
      </c>
      <c r="C24" s="11">
        <f>FV($D$18,$A24*12,$D$16*-1)</f>
        <v>155825.06003718701</v>
      </c>
      <c r="D24" s="12">
        <f>C24*RENDIMENTO_CARTEIRA</f>
        <v>1386.8430343309644</v>
      </c>
      <c r="E24" s="68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V24" s="4"/>
    </row>
    <row r="25" spans="1:22" ht="16" x14ac:dyDescent="0.4">
      <c r="A25" s="1">
        <v>10</v>
      </c>
      <c r="B25" s="10" t="s">
        <v>8</v>
      </c>
      <c r="C25" s="11">
        <f>FV($D$18,$A25*12,$D$16*-1)</f>
        <v>452508.63530612027</v>
      </c>
      <c r="D25" s="12">
        <f>C25*RENDIMENTO_CARTEIRA</f>
        <v>4027.3268542244705</v>
      </c>
      <c r="E25" s="68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1"/>
    </row>
    <row r="26" spans="1:22" ht="16" x14ac:dyDescent="0.4">
      <c r="A26" s="1">
        <v>20</v>
      </c>
      <c r="B26" s="10" t="s">
        <v>9</v>
      </c>
      <c r="C26" s="11">
        <f>FV($D$18,$A26*12,$D$16*-1)</f>
        <v>2092869.0241805699</v>
      </c>
      <c r="D26" s="12">
        <f>C26*RENDIMENTO_CARTEIRA</f>
        <v>18626.534315207071</v>
      </c>
      <c r="E26" s="68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</row>
    <row r="27" spans="1:22" ht="16.5" thickBot="1" x14ac:dyDescent="0.45">
      <c r="A27" s="1">
        <v>30</v>
      </c>
      <c r="B27" s="13" t="s">
        <v>10</v>
      </c>
      <c r="C27" s="14">
        <f>FV($D$18,$A27*12,$D$16*-1)</f>
        <v>8039235.558308769</v>
      </c>
      <c r="D27" s="15">
        <f>C27*RENDIMENTO_CARTEIRA</f>
        <v>71549.196468948037</v>
      </c>
      <c r="E27" s="68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</row>
    <row r="28" spans="1:22" x14ac:dyDescent="0.35">
      <c r="E28" s="67"/>
    </row>
    <row r="29" spans="1:22" x14ac:dyDescent="0.35">
      <c r="E29" s="67"/>
    </row>
    <row r="30" spans="1:22" x14ac:dyDescent="0.35">
      <c r="B30" s="55" t="s">
        <v>16</v>
      </c>
      <c r="C30" s="55"/>
      <c r="D30" s="28" t="s">
        <v>19</v>
      </c>
      <c r="E30" s="69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1:22" x14ac:dyDescent="0.35">
      <c r="B31" s="34" t="s">
        <v>20</v>
      </c>
      <c r="C31" s="34"/>
      <c r="D31" s="27">
        <f>APORTE</f>
        <v>1860</v>
      </c>
      <c r="E31" s="70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</row>
    <row r="32" spans="1:22" x14ac:dyDescent="0.35">
      <c r="E32" s="67"/>
    </row>
    <row r="33" spans="2:19" x14ac:dyDescent="0.35">
      <c r="B33" s="25" t="s">
        <v>21</v>
      </c>
      <c r="C33" s="25" t="s">
        <v>22</v>
      </c>
      <c r="D33" s="25" t="s">
        <v>23</v>
      </c>
      <c r="E33" s="71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</row>
    <row r="34" spans="2:19" x14ac:dyDescent="0.35">
      <c r="B34" s="3" t="s">
        <v>24</v>
      </c>
      <c r="C34" s="6">
        <f>VLOOKUP($D$30&amp;"-"&amp;B34,Planilha2!$A:$D,4,FALSE)</f>
        <v>0.32</v>
      </c>
      <c r="D34" s="5">
        <f>C34*$D$31</f>
        <v>595.20000000000005</v>
      </c>
      <c r="E34" s="72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spans="2:19" x14ac:dyDescent="0.35">
      <c r="B35" s="3" t="s">
        <v>25</v>
      </c>
      <c r="C35" s="6">
        <f>VLOOKUP($D$30&amp;"-"&amp;B35,Planilha2!$A:$D,4,FALSE)</f>
        <v>0.35</v>
      </c>
      <c r="D35" s="5">
        <f t="shared" ref="D35:D39" si="0">C35*$D$31</f>
        <v>651</v>
      </c>
      <c r="E35" s="72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2:19" x14ac:dyDescent="0.35">
      <c r="B36" s="3" t="s">
        <v>26</v>
      </c>
      <c r="C36" s="6">
        <f>VLOOKUP($D$30&amp;"-"&amp;B36,Planilha2!$A:$D,4,FALSE)</f>
        <v>0.08</v>
      </c>
      <c r="D36" s="5">
        <f t="shared" si="0"/>
        <v>148.80000000000001</v>
      </c>
      <c r="E36" s="72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2:19" x14ac:dyDescent="0.35">
      <c r="B37" s="3" t="s">
        <v>27</v>
      </c>
      <c r="C37" s="6">
        <f>VLOOKUP($D$30&amp;"-"&amp;B37,Planilha2!$A:$D,4,FALSE)</f>
        <v>0.05</v>
      </c>
      <c r="D37" s="5">
        <f t="shared" si="0"/>
        <v>93</v>
      </c>
      <c r="E37" s="7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spans="2:19" x14ac:dyDescent="0.35">
      <c r="B38" s="3" t="s">
        <v>28</v>
      </c>
      <c r="C38" s="6">
        <f>VLOOKUP($D$30&amp;"-"&amp;B38,Planilha2!$A:$D,4,FALSE)</f>
        <v>0.1</v>
      </c>
      <c r="D38" s="5">
        <f t="shared" si="0"/>
        <v>186</v>
      </c>
      <c r="E38" s="72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spans="2:19" x14ac:dyDescent="0.35">
      <c r="B39" s="3" t="s">
        <v>29</v>
      </c>
      <c r="C39" s="6">
        <f>VLOOKUP($D$30&amp;"-"&amp;B39,Planilha2!$A:$D,4,FALSE)</f>
        <v>0.1</v>
      </c>
      <c r="D39" s="5">
        <f t="shared" si="0"/>
        <v>186</v>
      </c>
      <c r="E39" s="72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spans="2:19" x14ac:dyDescent="0.35">
      <c r="B40" s="25"/>
      <c r="C40" s="25"/>
      <c r="D40" s="26">
        <f>SUM(D34:D39)</f>
        <v>1860</v>
      </c>
      <c r="E40" s="73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spans="2:19" x14ac:dyDescent="0.35">
      <c r="B41" s="32"/>
      <c r="C41" s="32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</row>
    <row r="42" spans="2:19" x14ac:dyDescent="0.35">
      <c r="B42" s="32"/>
      <c r="C42" s="32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</row>
    <row r="43" spans="2:19" x14ac:dyDescent="0.35">
      <c r="B43" s="32"/>
      <c r="C43" s="32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</row>
    <row r="44" spans="2:19" x14ac:dyDescent="0.35">
      <c r="B44" s="32"/>
      <c r="C44" s="32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</row>
    <row r="45" spans="2:19" x14ac:dyDescent="0.35">
      <c r="B45" s="32"/>
      <c r="C45" s="32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</row>
    <row r="46" spans="2:19" x14ac:dyDescent="0.35">
      <c r="B46" s="32"/>
      <c r="C46" s="32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</row>
    <row r="47" spans="2:19" x14ac:dyDescent="0.35">
      <c r="B47" s="32"/>
      <c r="C47" s="32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</row>
    <row r="48" spans="2:19" x14ac:dyDescent="0.35">
      <c r="B48" s="32"/>
      <c r="C48" s="32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</row>
    <row r="49" spans="2:19" x14ac:dyDescent="0.35">
      <c r="B49" s="32"/>
      <c r="C49" s="32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</row>
    <row r="50" spans="2:19" x14ac:dyDescent="0.35">
      <c r="B50" s="32"/>
      <c r="C50" s="32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</row>
    <row r="51" spans="2:19" x14ac:dyDescent="0.35"/>
  </sheetData>
  <mergeCells count="13">
    <mergeCell ref="B10:C10"/>
    <mergeCell ref="B11:C11"/>
    <mergeCell ref="B12:C12"/>
    <mergeCell ref="B13:C13"/>
    <mergeCell ref="B30:C30"/>
    <mergeCell ref="B31:C31"/>
    <mergeCell ref="B15:C15"/>
    <mergeCell ref="B22:C22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D30:S30" xr:uid="{02B204C5-29E0-4B22-84CE-6F891E845426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75D5F-F7E1-459B-AF64-0EEEB6E9692C}">
  <dimension ref="A1:J20"/>
  <sheetViews>
    <sheetView workbookViewId="0">
      <selection activeCell="D15" sqref="D15"/>
    </sheetView>
  </sheetViews>
  <sheetFormatPr defaultRowHeight="14.5" x14ac:dyDescent="0.35"/>
  <cols>
    <col min="1" max="1" width="31.26953125" bestFit="1" customWidth="1"/>
    <col min="2" max="2" width="13.81640625" bestFit="1" customWidth="1"/>
    <col min="3" max="3" width="17.453125" bestFit="1" customWidth="1"/>
    <col min="9" max="9" width="17.1796875" bestFit="1" customWidth="1"/>
  </cols>
  <sheetData>
    <row r="1" spans="1:10" ht="15" thickBot="1" x14ac:dyDescent="0.4"/>
    <row r="2" spans="1:10" ht="15.5" thickTop="1" thickBot="1" x14ac:dyDescent="0.4">
      <c r="A2" s="30" t="s">
        <v>31</v>
      </c>
      <c r="B2" s="30" t="s">
        <v>16</v>
      </c>
      <c r="C2" s="30" t="s">
        <v>21</v>
      </c>
      <c r="D2" s="30" t="s">
        <v>30</v>
      </c>
    </row>
    <row r="3" spans="1:10" ht="15" thickTop="1" x14ac:dyDescent="0.35">
      <c r="A3" s="3" t="str">
        <f>B3&amp;"-"&amp;C3</f>
        <v>CONSERVADOR-PAPEL</v>
      </c>
      <c r="B3" s="3" t="s">
        <v>18</v>
      </c>
      <c r="C3" s="3" t="s">
        <v>24</v>
      </c>
      <c r="D3" s="6">
        <v>0.3</v>
      </c>
    </row>
    <row r="4" spans="1:10" x14ac:dyDescent="0.35">
      <c r="A4" s="3" t="str">
        <f t="shared" ref="A4:A20" si="0">B4&amp;"-"&amp;C4</f>
        <v>CONSERVADOR-TIJOLO</v>
      </c>
      <c r="B4" s="3" t="s">
        <v>18</v>
      </c>
      <c r="C4" s="3" t="s">
        <v>25</v>
      </c>
      <c r="D4" s="6">
        <v>0.5</v>
      </c>
    </row>
    <row r="5" spans="1:10" x14ac:dyDescent="0.35">
      <c r="A5" s="3" t="str">
        <f t="shared" si="0"/>
        <v>CONSERVADOR-HIBRIDOS</v>
      </c>
      <c r="B5" s="3" t="s">
        <v>18</v>
      </c>
      <c r="C5" s="3" t="s">
        <v>26</v>
      </c>
      <c r="D5" s="6">
        <v>0.1</v>
      </c>
      <c r="I5" s="3"/>
      <c r="J5" s="31"/>
    </row>
    <row r="6" spans="1:10" x14ac:dyDescent="0.35">
      <c r="A6" s="3" t="str">
        <f t="shared" si="0"/>
        <v>CONSERVADOR-FOFs</v>
      </c>
      <c r="B6" s="3" t="s">
        <v>18</v>
      </c>
      <c r="C6" s="3" t="s">
        <v>27</v>
      </c>
      <c r="D6" s="6">
        <v>0.1</v>
      </c>
    </row>
    <row r="7" spans="1:10" x14ac:dyDescent="0.35">
      <c r="A7" s="3" t="str">
        <f t="shared" si="0"/>
        <v>CONSERVADOR-DESENVOLVIMENTO</v>
      </c>
      <c r="B7" s="3" t="s">
        <v>18</v>
      </c>
      <c r="C7" s="3" t="s">
        <v>28</v>
      </c>
      <c r="D7" s="6">
        <v>0</v>
      </c>
    </row>
    <row r="8" spans="1:10" ht="15" thickBot="1" x14ac:dyDescent="0.4">
      <c r="A8" s="29" t="str">
        <f t="shared" si="0"/>
        <v>CONSERVADOR-HOTELARIAS</v>
      </c>
      <c r="B8" s="29" t="s">
        <v>18</v>
      </c>
      <c r="C8" s="29" t="s">
        <v>29</v>
      </c>
      <c r="D8" s="6">
        <v>0</v>
      </c>
    </row>
    <row r="9" spans="1:10" ht="15" thickTop="1" x14ac:dyDescent="0.35">
      <c r="A9" s="3" t="str">
        <f t="shared" si="0"/>
        <v>MODERADO-PAPEL</v>
      </c>
      <c r="B9" s="3" t="s">
        <v>19</v>
      </c>
      <c r="C9" s="3" t="s">
        <v>24</v>
      </c>
      <c r="D9" s="6">
        <v>0.32</v>
      </c>
    </row>
    <row r="10" spans="1:10" x14ac:dyDescent="0.35">
      <c r="A10" s="3" t="str">
        <f t="shared" si="0"/>
        <v>MODERADO-TIJOLO</v>
      </c>
      <c r="B10" s="3" t="s">
        <v>19</v>
      </c>
      <c r="C10" s="3" t="s">
        <v>25</v>
      </c>
      <c r="D10" s="6">
        <v>0.35</v>
      </c>
    </row>
    <row r="11" spans="1:10" x14ac:dyDescent="0.35">
      <c r="A11" s="3" t="str">
        <f t="shared" si="0"/>
        <v>MODERADO-HIBRIDOS</v>
      </c>
      <c r="B11" s="3" t="s">
        <v>19</v>
      </c>
      <c r="C11" s="3" t="s">
        <v>26</v>
      </c>
      <c r="D11" s="6">
        <v>0.08</v>
      </c>
    </row>
    <row r="12" spans="1:10" x14ac:dyDescent="0.35">
      <c r="A12" s="3" t="str">
        <f t="shared" si="0"/>
        <v>MODERADO-FOFs</v>
      </c>
      <c r="B12" s="3" t="s">
        <v>19</v>
      </c>
      <c r="C12" s="3" t="s">
        <v>27</v>
      </c>
      <c r="D12" s="6">
        <v>0.05</v>
      </c>
    </row>
    <row r="13" spans="1:10" x14ac:dyDescent="0.35">
      <c r="A13" s="3" t="str">
        <f t="shared" si="0"/>
        <v>MODERADO-DESENVOLVIMENTO</v>
      </c>
      <c r="B13" s="3" t="s">
        <v>19</v>
      </c>
      <c r="C13" s="3" t="s">
        <v>28</v>
      </c>
      <c r="D13" s="6">
        <v>0.1</v>
      </c>
    </row>
    <row r="14" spans="1:10" ht="15" thickBot="1" x14ac:dyDescent="0.4">
      <c r="A14" s="29" t="str">
        <f t="shared" si="0"/>
        <v>MODERADO-HOTELARIAS</v>
      </c>
      <c r="B14" s="29" t="s">
        <v>19</v>
      </c>
      <c r="C14" s="29" t="s">
        <v>29</v>
      </c>
      <c r="D14" s="6">
        <v>0.1</v>
      </c>
    </row>
    <row r="15" spans="1:10" ht="15" thickTop="1" x14ac:dyDescent="0.35">
      <c r="A15" s="3" t="str">
        <f t="shared" si="0"/>
        <v>AGRESSIVO-PAPEL</v>
      </c>
      <c r="B15" s="3" t="s">
        <v>17</v>
      </c>
      <c r="C15" s="3" t="s">
        <v>24</v>
      </c>
      <c r="D15" s="6">
        <v>0.5</v>
      </c>
    </row>
    <row r="16" spans="1:10" x14ac:dyDescent="0.35">
      <c r="A16" s="3" t="str">
        <f t="shared" si="0"/>
        <v>AGRESSIVO-TIJOLO</v>
      </c>
      <c r="B16" s="3" t="s">
        <v>17</v>
      </c>
      <c r="C16" s="3" t="s">
        <v>25</v>
      </c>
      <c r="D16" s="6">
        <v>0.1</v>
      </c>
    </row>
    <row r="17" spans="1:4" x14ac:dyDescent="0.35">
      <c r="A17" s="3" t="str">
        <f t="shared" si="0"/>
        <v>AGRESSIVO-HIBRIDOS</v>
      </c>
      <c r="B17" s="3" t="s">
        <v>17</v>
      </c>
      <c r="C17" s="3" t="s">
        <v>26</v>
      </c>
      <c r="D17" s="6">
        <v>0.05</v>
      </c>
    </row>
    <row r="18" spans="1:4" x14ac:dyDescent="0.35">
      <c r="A18" s="3" t="str">
        <f t="shared" si="0"/>
        <v>AGRESSIVO-FOFs</v>
      </c>
      <c r="B18" s="3" t="s">
        <v>17</v>
      </c>
      <c r="C18" s="3" t="s">
        <v>27</v>
      </c>
      <c r="D18" s="6">
        <v>0.05</v>
      </c>
    </row>
    <row r="19" spans="1:4" x14ac:dyDescent="0.35">
      <c r="A19" s="3" t="str">
        <f t="shared" si="0"/>
        <v>AGRESSIVO-DESENVOLVIMENTO</v>
      </c>
      <c r="B19" s="3" t="s">
        <v>17</v>
      </c>
      <c r="C19" s="3" t="s">
        <v>28</v>
      </c>
      <c r="D19" s="6">
        <v>0.2</v>
      </c>
    </row>
    <row r="20" spans="1:4" x14ac:dyDescent="0.35">
      <c r="A20" s="3" t="str">
        <f t="shared" si="0"/>
        <v>AGRESSIVO-HOTELARIAS</v>
      </c>
      <c r="B20" s="3" t="s">
        <v>17</v>
      </c>
      <c r="C20" s="3" t="s">
        <v>29</v>
      </c>
      <c r="D20" s="6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T9611</dc:creator>
  <cp:lastModifiedBy>T9611</cp:lastModifiedBy>
  <dcterms:created xsi:type="dcterms:W3CDTF">2026-01-08T16:38:03Z</dcterms:created>
  <dcterms:modified xsi:type="dcterms:W3CDTF">2026-01-09T15:33:57Z</dcterms:modified>
</cp:coreProperties>
</file>